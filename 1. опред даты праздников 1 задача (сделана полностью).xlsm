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учеба\VBA\"/>
    </mc:Choice>
  </mc:AlternateContent>
  <bookViews>
    <workbookView xWindow="0" yWindow="0" windowWidth="28800" windowHeight="12330"/>
  </bookViews>
  <sheets>
    <sheet name="лист1" sheetId="2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8" i="2"/>
  <c r="F12" i="2"/>
  <c r="F16" i="2"/>
  <c r="F20" i="2"/>
  <c r="F24" i="2"/>
  <c r="F28" i="2"/>
  <c r="F32" i="2"/>
  <c r="F14" i="2"/>
  <c r="F22" i="2"/>
  <c r="F30" i="2"/>
  <c r="F11" i="2"/>
  <c r="F23" i="2"/>
  <c r="F31" i="2"/>
  <c r="F5" i="2"/>
  <c r="F9" i="2"/>
  <c r="F13" i="2"/>
  <c r="F17" i="2"/>
  <c r="F21" i="2"/>
  <c r="F25" i="2"/>
  <c r="F29" i="2"/>
  <c r="F6" i="2"/>
  <c r="F10" i="2"/>
  <c r="F18" i="2"/>
  <c r="F26" i="2"/>
  <c r="F7" i="2"/>
  <c r="F15" i="2"/>
  <c r="F19" i="2"/>
  <c r="F27" i="2"/>
  <c r="P4" i="2"/>
  <c r="P8" i="2"/>
  <c r="P12" i="2"/>
  <c r="P16" i="2"/>
  <c r="P20" i="2"/>
  <c r="P24" i="2"/>
  <c r="P28" i="2"/>
  <c r="P32" i="2"/>
  <c r="P26" i="2"/>
  <c r="P11" i="2"/>
  <c r="P19" i="2"/>
  <c r="P31" i="2"/>
  <c r="P5" i="2"/>
  <c r="P9" i="2"/>
  <c r="P13" i="2"/>
  <c r="P17" i="2"/>
  <c r="P21" i="2"/>
  <c r="P25" i="2"/>
  <c r="P29" i="2"/>
  <c r="P10" i="2"/>
  <c r="P14" i="2"/>
  <c r="P18" i="2"/>
  <c r="P22" i="2"/>
  <c r="P30" i="2"/>
  <c r="P7" i="2"/>
  <c r="P15" i="2"/>
  <c r="P23" i="2"/>
  <c r="P6" i="2"/>
  <c r="P27" i="2"/>
  <c r="P3" i="2"/>
  <c r="O4" i="2"/>
  <c r="O8" i="2"/>
  <c r="O12" i="2"/>
  <c r="O16" i="2"/>
  <c r="O20" i="2"/>
  <c r="O24" i="2"/>
  <c r="O28" i="2"/>
  <c r="O32" i="2"/>
  <c r="O5" i="2"/>
  <c r="O9" i="2"/>
  <c r="O13" i="2"/>
  <c r="O17" i="2"/>
  <c r="O21" i="2"/>
  <c r="O25" i="2"/>
  <c r="O29" i="2"/>
  <c r="O6" i="2"/>
  <c r="O10" i="2"/>
  <c r="O14" i="2"/>
  <c r="O18" i="2"/>
  <c r="O22" i="2"/>
  <c r="O26" i="2"/>
  <c r="O30" i="2"/>
  <c r="O7" i="2"/>
  <c r="O11" i="2"/>
  <c r="O15" i="2"/>
  <c r="O19" i="2"/>
  <c r="O23" i="2"/>
  <c r="O27" i="2"/>
  <c r="O31" i="2"/>
  <c r="O3" i="2"/>
  <c r="N4" i="2"/>
  <c r="N8" i="2"/>
  <c r="N12" i="2"/>
  <c r="N16" i="2"/>
  <c r="N20" i="2"/>
  <c r="N24" i="2"/>
  <c r="N28" i="2"/>
  <c r="N32" i="2"/>
  <c r="N5" i="2"/>
  <c r="N9" i="2"/>
  <c r="N13" i="2"/>
  <c r="N17" i="2"/>
  <c r="N21" i="2"/>
  <c r="N25" i="2"/>
  <c r="N29" i="2"/>
  <c r="N6" i="2"/>
  <c r="N10" i="2"/>
  <c r="N14" i="2"/>
  <c r="N18" i="2"/>
  <c r="N22" i="2"/>
  <c r="N26" i="2"/>
  <c r="N30" i="2"/>
  <c r="N7" i="2"/>
  <c r="N11" i="2"/>
  <c r="N15" i="2"/>
  <c r="N19" i="2"/>
  <c r="N23" i="2"/>
  <c r="N27" i="2"/>
  <c r="N31" i="2"/>
  <c r="N3" i="2"/>
  <c r="M3" i="2"/>
  <c r="M4" i="2"/>
  <c r="M8" i="2"/>
  <c r="M12" i="2"/>
  <c r="M16" i="2"/>
  <c r="M20" i="2"/>
  <c r="M24" i="2"/>
  <c r="M28" i="2"/>
  <c r="M32" i="2"/>
  <c r="M15" i="2"/>
  <c r="M27" i="2"/>
  <c r="M5" i="2"/>
  <c r="M9" i="2"/>
  <c r="M13" i="2"/>
  <c r="M17" i="2"/>
  <c r="M21" i="2"/>
  <c r="M25" i="2"/>
  <c r="M29" i="2"/>
  <c r="M11" i="2"/>
  <c r="M23" i="2"/>
  <c r="M6" i="2"/>
  <c r="M10" i="2"/>
  <c r="M14" i="2"/>
  <c r="M18" i="2"/>
  <c r="M22" i="2"/>
  <c r="M26" i="2"/>
  <c r="M30" i="2"/>
  <c r="M7" i="2"/>
  <c r="M19" i="2"/>
  <c r="M31" i="2"/>
  <c r="L4" i="2"/>
  <c r="L8" i="2"/>
  <c r="L12" i="2"/>
  <c r="L16" i="2"/>
  <c r="L20" i="2"/>
  <c r="L24" i="2"/>
  <c r="L28" i="2"/>
  <c r="L32" i="2"/>
  <c r="L13" i="2"/>
  <c r="L17" i="2"/>
  <c r="L25" i="2"/>
  <c r="L29" i="2"/>
  <c r="L7" i="2"/>
  <c r="L15" i="2"/>
  <c r="L27" i="2"/>
  <c r="L5" i="2"/>
  <c r="L9" i="2"/>
  <c r="L21" i="2"/>
  <c r="L30" i="2"/>
  <c r="L19" i="2"/>
  <c r="L31" i="2"/>
  <c r="L6" i="2"/>
  <c r="L10" i="2"/>
  <c r="L14" i="2"/>
  <c r="L18" i="2"/>
  <c r="L22" i="2"/>
  <c r="L26" i="2"/>
  <c r="L11" i="2"/>
  <c r="L23" i="2"/>
  <c r="L3" i="2"/>
  <c r="K3" i="2"/>
  <c r="K8" i="2"/>
  <c r="K4" i="2"/>
  <c r="K12" i="2"/>
  <c r="K16" i="2"/>
  <c r="K20" i="2"/>
  <c r="K24" i="2"/>
  <c r="K28" i="2"/>
  <c r="K32" i="2"/>
  <c r="K5" i="2"/>
  <c r="K9" i="2"/>
  <c r="K13" i="2"/>
  <c r="K17" i="2"/>
  <c r="K21" i="2"/>
  <c r="K25" i="2"/>
  <c r="K29" i="2"/>
  <c r="K6" i="2"/>
  <c r="K10" i="2"/>
  <c r="K14" i="2"/>
  <c r="K18" i="2"/>
  <c r="K22" i="2"/>
  <c r="K26" i="2"/>
  <c r="K30" i="2"/>
  <c r="K7" i="2"/>
  <c r="K11" i="2"/>
  <c r="K15" i="2"/>
  <c r="K19" i="2"/>
  <c r="K23" i="2"/>
  <c r="K27" i="2"/>
  <c r="K31" i="2"/>
  <c r="J24" i="2"/>
  <c r="J4" i="2"/>
  <c r="J8" i="2"/>
  <c r="J12" i="2"/>
  <c r="J16" i="2"/>
  <c r="J20" i="2"/>
  <c r="J28" i="2"/>
  <c r="J32" i="2"/>
  <c r="J11" i="2"/>
  <c r="J23" i="2"/>
  <c r="J5" i="2"/>
  <c r="J9" i="2"/>
  <c r="J13" i="2"/>
  <c r="J17" i="2"/>
  <c r="J21" i="2"/>
  <c r="J25" i="2"/>
  <c r="J29" i="2"/>
  <c r="J30" i="2"/>
  <c r="J15" i="2"/>
  <c r="J27" i="2"/>
  <c r="J6" i="2"/>
  <c r="J10" i="2"/>
  <c r="J14" i="2"/>
  <c r="J18" i="2"/>
  <c r="J22" i="2"/>
  <c r="J26" i="2"/>
  <c r="J7" i="2"/>
  <c r="J19" i="2"/>
  <c r="J31" i="2"/>
  <c r="J3" i="2"/>
  <c r="I3" i="2"/>
  <c r="I4" i="2"/>
  <c r="I8" i="2"/>
  <c r="I12" i="2"/>
  <c r="I16" i="2"/>
  <c r="I20" i="2"/>
  <c r="I24" i="2"/>
  <c r="I28" i="2"/>
  <c r="I32" i="2"/>
  <c r="I5" i="2"/>
  <c r="I9" i="2"/>
  <c r="I13" i="2"/>
  <c r="I17" i="2"/>
  <c r="I21" i="2"/>
  <c r="I25" i="2"/>
  <c r="I29" i="2"/>
  <c r="I6" i="2"/>
  <c r="I10" i="2"/>
  <c r="I14" i="2"/>
  <c r="I18" i="2"/>
  <c r="I22" i="2"/>
  <c r="I26" i="2"/>
  <c r="I30" i="2"/>
  <c r="I7" i="2"/>
  <c r="I11" i="2"/>
  <c r="I15" i="2"/>
  <c r="I19" i="2"/>
  <c r="I23" i="2"/>
  <c r="I27" i="2"/>
  <c r="I31" i="2"/>
  <c r="E5" i="2"/>
  <c r="E21" i="2"/>
  <c r="E10" i="2"/>
  <c r="E26" i="2"/>
  <c r="E7" i="2"/>
  <c r="E23" i="2"/>
  <c r="E12" i="2"/>
  <c r="E4" i="2"/>
  <c r="C7" i="2"/>
  <c r="C15" i="2"/>
  <c r="C23" i="2"/>
  <c r="C31" i="2"/>
  <c r="D9" i="2"/>
  <c r="D17" i="2"/>
  <c r="D25" i="2"/>
  <c r="C4" i="2"/>
  <c r="C12" i="2"/>
  <c r="C20" i="2"/>
  <c r="C28" i="2"/>
  <c r="D6" i="2"/>
  <c r="D14" i="2"/>
  <c r="D22" i="2"/>
  <c r="D30" i="2"/>
  <c r="E28" i="2"/>
  <c r="C5" i="2"/>
  <c r="C21" i="2"/>
  <c r="D7" i="2"/>
  <c r="D23" i="2"/>
  <c r="C10" i="2"/>
  <c r="C26" i="2"/>
  <c r="D20" i="2"/>
  <c r="E9" i="2"/>
  <c r="E25" i="2"/>
  <c r="E14" i="2"/>
  <c r="E30" i="2"/>
  <c r="E11" i="2"/>
  <c r="E27" i="2"/>
  <c r="E16" i="2"/>
  <c r="E3" i="2"/>
  <c r="C9" i="2"/>
  <c r="C17" i="2"/>
  <c r="C25" i="2"/>
  <c r="D3" i="2"/>
  <c r="D11" i="2"/>
  <c r="D19" i="2"/>
  <c r="D27" i="2"/>
  <c r="C6" i="2"/>
  <c r="C14" i="2"/>
  <c r="C22" i="2"/>
  <c r="C30" i="2"/>
  <c r="D8" i="2"/>
  <c r="D16" i="2"/>
  <c r="D24" i="2"/>
  <c r="D32" i="2"/>
  <c r="E22" i="2"/>
  <c r="D31" i="2"/>
  <c r="D4" i="2"/>
  <c r="D28" i="2"/>
  <c r="E13" i="2"/>
  <c r="E29" i="2"/>
  <c r="E18" i="2"/>
  <c r="E20" i="2"/>
  <c r="E15" i="2"/>
  <c r="E31" i="2"/>
  <c r="E24" i="2"/>
  <c r="C3" i="2"/>
  <c r="C11" i="2"/>
  <c r="C19" i="2"/>
  <c r="C27" i="2"/>
  <c r="D5" i="2"/>
  <c r="D13" i="2"/>
  <c r="D21" i="2"/>
  <c r="D29" i="2"/>
  <c r="C8" i="2"/>
  <c r="C16" i="2"/>
  <c r="C24" i="2"/>
  <c r="C32" i="2"/>
  <c r="D10" i="2"/>
  <c r="D18" i="2"/>
  <c r="D26" i="2"/>
  <c r="E17" i="2"/>
  <c r="E6" i="2"/>
  <c r="E19" i="2"/>
  <c r="E8" i="2"/>
  <c r="E32" i="2"/>
  <c r="C13" i="2"/>
  <c r="C29" i="2"/>
  <c r="D15" i="2"/>
  <c r="C18" i="2"/>
  <c r="D12" i="2"/>
  <c r="G3" i="2"/>
  <c r="H3" i="2"/>
  <c r="H4" i="2"/>
  <c r="G4" i="2"/>
  <c r="H8" i="2"/>
  <c r="G8" i="2"/>
  <c r="H12" i="2"/>
  <c r="G12" i="2"/>
  <c r="H16" i="2"/>
  <c r="G16" i="2"/>
  <c r="H20" i="2"/>
  <c r="G20" i="2"/>
  <c r="H24" i="2"/>
  <c r="G24" i="2"/>
  <c r="H28" i="2"/>
  <c r="G28" i="2"/>
  <c r="H32" i="2"/>
  <c r="G32" i="2"/>
  <c r="H14" i="2"/>
  <c r="G14" i="2"/>
  <c r="H22" i="2"/>
  <c r="G22" i="2"/>
  <c r="H30" i="2"/>
  <c r="G30" i="2"/>
  <c r="H11" i="2"/>
  <c r="G11" i="2"/>
  <c r="H23" i="2"/>
  <c r="G23" i="2"/>
  <c r="H31" i="2"/>
  <c r="G31" i="2"/>
  <c r="H5" i="2"/>
  <c r="G5" i="2"/>
  <c r="H9" i="2"/>
  <c r="G9" i="2"/>
  <c r="H13" i="2"/>
  <c r="G13" i="2"/>
  <c r="H17" i="2"/>
  <c r="G17" i="2"/>
  <c r="H21" i="2"/>
  <c r="G21" i="2"/>
  <c r="H25" i="2"/>
  <c r="G25" i="2"/>
  <c r="H29" i="2"/>
  <c r="G29" i="2"/>
  <c r="H6" i="2"/>
  <c r="G6" i="2"/>
  <c r="H10" i="2"/>
  <c r="G10" i="2"/>
  <c r="H18" i="2"/>
  <c r="G18" i="2"/>
  <c r="H26" i="2"/>
  <c r="G26" i="2"/>
  <c r="H7" i="2"/>
  <c r="G7" i="2"/>
  <c r="H15" i="2"/>
  <c r="G15" i="2"/>
  <c r="H19" i="2"/>
  <c r="G19" i="2"/>
  <c r="H27" i="2"/>
  <c r="G27" i="2"/>
</calcChain>
</file>

<file path=xl/sharedStrings.xml><?xml version="1.0" encoding="utf-8"?>
<sst xmlns="http://schemas.openxmlformats.org/spreadsheetml/2006/main" count="17" uniqueCount="17">
  <si>
    <t>День Мартина
 Лютера Кинга</t>
  </si>
  <si>
    <t>День памяти</t>
  </si>
  <si>
    <t>Американские праздники</t>
  </si>
  <si>
    <t>День благодарения</t>
  </si>
  <si>
    <t>Праздники Беларуси</t>
  </si>
  <si>
    <t>День белорусской 
науки</t>
  </si>
  <si>
    <t xml:space="preserve">День Гос. Герба
 и Гос. флага РБ </t>
  </si>
  <si>
    <t>День изобретателя 
и рационализатора</t>
  </si>
  <si>
    <t>День молодежи</t>
  </si>
  <si>
    <t>День 
железнодорожника</t>
  </si>
  <si>
    <t>День
танкистов</t>
  </si>
  <si>
    <t>День мира</t>
  </si>
  <si>
    <t>День учителя</t>
  </si>
  <si>
    <t>Праздники Франции</t>
  </si>
  <si>
    <t>Католическая
пасха</t>
  </si>
  <si>
    <t>Вознесение</t>
  </si>
  <si>
    <t>Марди Гра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</si>
</sst>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]ddd/\ dd\.mm\.yyyy;@" x16r2:formatCode16="[$-ru-BY,1]ddd/\ dd\.mm\.yyyy;@"/>
  </numFmts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rgb="FF373A3C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P33"/>
  <sheetViews>
    <sheetView tabSelected="1" workbookViewId="0">
      <selection activeCell="C1" sqref="C1:E1"/>
    </sheetView>
  </sheetViews>
  <sheetFormatPr defaultRowHeight="15" x14ac:dyDescent="0.25"/>
  <cols>
    <col min="3" max="3" width="22.42578125" customWidth="1"/>
    <col min="4" max="4" width="25.140625" customWidth="1"/>
    <col min="5" max="5" width="19.140625" customWidth="1"/>
    <col min="6" max="6" width="17.5703125" customWidth="1"/>
    <col min="7" max="7" width="16.85546875" customWidth="1"/>
    <col min="8" max="8" width="21.42578125" customWidth="1"/>
    <col min="9" max="9" width="19.7109375" customWidth="1"/>
    <col min="10" max="10" width="18.28515625" customWidth="1"/>
    <col min="11" max="11" width="22.28515625" customWidth="1"/>
    <col min="12" max="12" width="22.42578125" customWidth="1"/>
    <col min="13" max="13" width="20.140625" customWidth="1"/>
    <col min="14" max="14" width="18.85546875" customWidth="1"/>
    <col min="15" max="15" width="21.140625" customWidth="1"/>
    <col min="16" max="16" width="23.42578125" customWidth="1"/>
  </cols>
  <sheetData>
    <row r="1" spans="2:16" ht="33.75" customHeight="1" x14ac:dyDescent="0.25">
      <c r="B1" s="2"/>
      <c r="C1" s="7" t="s">
        <v>2</v>
      </c>
      <c r="D1" s="7"/>
      <c r="E1" s="7"/>
      <c r="F1" s="8" t="s">
        <v>13</v>
      </c>
      <c r="G1" s="8"/>
      <c r="H1" s="8"/>
      <c r="I1" s="8" t="s">
        <v>4</v>
      </c>
      <c r="J1" s="8"/>
      <c r="K1" s="8"/>
      <c r="L1" s="8"/>
      <c r="M1" s="8"/>
      <c r="N1" s="8"/>
      <c r="O1" s="8"/>
      <c r="P1" s="8"/>
    </row>
    <row r="2" spans="2:16" ht="30" customHeight="1" x14ac:dyDescent="0.25">
      <c r="B2" s="2"/>
      <c r="C2" s="9" t="s">
        <v>0</v>
      </c>
      <c r="D2" s="10" t="s">
        <v>1</v>
      </c>
      <c r="E2" s="6" t="s">
        <v>3</v>
      </c>
      <c r="F2" s="9" t="s">
        <v>14</v>
      </c>
      <c r="G2" s="10" t="s">
        <v>15</v>
      </c>
      <c r="H2" s="10" t="s">
        <v>16</v>
      </c>
      <c r="I2" s="9" t="s">
        <v>5</v>
      </c>
      <c r="J2" s="9" t="s">
        <v>6</v>
      </c>
      <c r="K2" s="9" t="s">
        <v>7</v>
      </c>
      <c r="L2" s="10" t="s">
        <v>8</v>
      </c>
      <c r="M2" s="9" t="s">
        <v>9</v>
      </c>
      <c r="N2" s="9" t="s">
        <v>10</v>
      </c>
      <c r="O2" s="10" t="s">
        <v>11</v>
      </c>
      <c r="P2" s="10" t="s">
        <v>12</v>
      </c>
    </row>
    <row r="3" spans="2:16" ht="18.75" x14ac:dyDescent="0.25">
      <c r="B3" s="1">
        <v>2001</v>
      </c>
      <c r="C3" s="3">
        <f>ДеньМартинаЛютераКинга(B3)</f>
        <v>36906</v>
      </c>
      <c r="D3" s="3">
        <f>ДеньПамяти(B3)</f>
        <v>37039</v>
      </c>
      <c r="E3" s="3">
        <f>ДеньБлагодарения(B3)</f>
        <v>37217</v>
      </c>
      <c r="F3" s="3">
        <f>Пасха_кат(B3)</f>
        <v>36996</v>
      </c>
      <c r="G3" s="3">
        <f>Возн_катол(F3)</f>
        <v>37035</v>
      </c>
      <c r="H3" s="3">
        <f>МардиГра(F3)</f>
        <v>36949</v>
      </c>
      <c r="I3" s="3">
        <f>ДеньБелорусскойНауки(B3)</f>
        <v>36919</v>
      </c>
      <c r="J3" s="3">
        <f>ДеньГосФлага(B3)</f>
        <v>37024</v>
      </c>
      <c r="K3" s="3">
        <f>ДеньИзобретателя(B3)</f>
        <v>37072</v>
      </c>
      <c r="L3" s="3">
        <f>ДеньМолодежи(B3)</f>
        <v>37066</v>
      </c>
      <c r="M3" s="3">
        <f>ДеньЖелезнодорожников(B3)</f>
        <v>37108</v>
      </c>
      <c r="N3" s="3">
        <f>ДеньТанкистов(B3)</f>
        <v>37143</v>
      </c>
      <c r="O3" s="3">
        <f>ДеньМира(B3)</f>
        <v>37152</v>
      </c>
      <c r="P3" s="3">
        <f>ДеньУчителя(B3)</f>
        <v>37171</v>
      </c>
    </row>
    <row r="4" spans="2:16" ht="18.75" x14ac:dyDescent="0.25">
      <c r="B4" s="1">
        <v>2002</v>
      </c>
      <c r="C4" s="3">
        <f t="shared" ref="C4:C32" si="0">ДеньМартинаЛютераКинга(B4)</f>
        <v>37277</v>
      </c>
      <c r="D4" s="3">
        <f t="shared" ref="D4:D32" si="1">ДеньПамяти(B4)</f>
        <v>37403</v>
      </c>
      <c r="E4" s="3">
        <f>ДеньБлагодарения(B4)</f>
        <v>37588</v>
      </c>
      <c r="F4" s="3">
        <f t="shared" ref="F4:F32" si="2">Пасха_кат(B4)</f>
        <v>37346</v>
      </c>
      <c r="G4" s="3">
        <f t="shared" ref="G4:G32" si="3">Возн_катол(F4)</f>
        <v>37385</v>
      </c>
      <c r="H4" s="3">
        <f t="shared" ref="H4:H32" si="4">МардиГра(F4)</f>
        <v>37299</v>
      </c>
      <c r="I4" s="3">
        <f t="shared" ref="I4:I32" si="5">ДеньБелорусскойНауки(B4)</f>
        <v>37283</v>
      </c>
      <c r="J4" s="3">
        <f t="shared" ref="J4:J32" si="6">ДеньГосФлага(B4)</f>
        <v>37388</v>
      </c>
      <c r="K4" s="3">
        <f t="shared" ref="K4:K32" si="7">ДеньИзобретателя(B4)</f>
        <v>37436</v>
      </c>
      <c r="L4" s="3">
        <f t="shared" ref="L4:L32" si="8">ДеньМолодежи(B4)</f>
        <v>37437</v>
      </c>
      <c r="M4" s="3">
        <f t="shared" ref="M4:M32" si="9">ДеньЖелезнодорожников(B4)</f>
        <v>37472</v>
      </c>
      <c r="N4" s="3">
        <f t="shared" ref="N4:N32" si="10">ДеньТанкистов(B4)</f>
        <v>37507</v>
      </c>
      <c r="O4" s="3">
        <f t="shared" ref="O4:O32" si="11">ДеньМира(B4)</f>
        <v>37516</v>
      </c>
      <c r="P4" s="3">
        <f t="shared" ref="P4:P32" si="12">ДеньУчителя(B4)</f>
        <v>37535</v>
      </c>
    </row>
    <row r="5" spans="2:16" ht="18.75" x14ac:dyDescent="0.25">
      <c r="B5" s="1">
        <v>2003</v>
      </c>
      <c r="C5" s="3">
        <f t="shared" si="0"/>
        <v>37641</v>
      </c>
      <c r="D5" s="3">
        <f t="shared" si="1"/>
        <v>37767</v>
      </c>
      <c r="E5" s="3">
        <f t="shared" ref="E5:E32" si="13">ДеньБлагодарения(B5)</f>
        <v>37952</v>
      </c>
      <c r="F5" s="3">
        <f t="shared" si="2"/>
        <v>37731</v>
      </c>
      <c r="G5" s="3">
        <f t="shared" si="3"/>
        <v>37770</v>
      </c>
      <c r="H5" s="3">
        <f t="shared" si="4"/>
        <v>37684</v>
      </c>
      <c r="I5" s="3">
        <f t="shared" si="5"/>
        <v>37647</v>
      </c>
      <c r="J5" s="3">
        <f t="shared" si="6"/>
        <v>37752</v>
      </c>
      <c r="K5" s="3">
        <f t="shared" si="7"/>
        <v>37800</v>
      </c>
      <c r="L5" s="3">
        <f t="shared" si="8"/>
        <v>37801</v>
      </c>
      <c r="M5" s="3">
        <f t="shared" si="9"/>
        <v>37836</v>
      </c>
      <c r="N5" s="3">
        <f t="shared" si="10"/>
        <v>37878</v>
      </c>
      <c r="O5" s="3">
        <f t="shared" si="11"/>
        <v>37880</v>
      </c>
      <c r="P5" s="3">
        <f t="shared" si="12"/>
        <v>37899</v>
      </c>
    </row>
    <row r="6" spans="2:16" ht="18.75" x14ac:dyDescent="0.25">
      <c r="B6" s="1">
        <v>2004</v>
      </c>
      <c r="C6" s="3">
        <f t="shared" si="0"/>
        <v>38005</v>
      </c>
      <c r="D6" s="3">
        <f t="shared" si="1"/>
        <v>38138</v>
      </c>
      <c r="E6" s="3">
        <f t="shared" si="13"/>
        <v>38316</v>
      </c>
      <c r="F6" s="3">
        <f t="shared" si="2"/>
        <v>38088</v>
      </c>
      <c r="G6" s="3">
        <f t="shared" si="3"/>
        <v>38127</v>
      </c>
      <c r="H6" s="3">
        <f t="shared" si="4"/>
        <v>38041</v>
      </c>
      <c r="I6" s="3">
        <f t="shared" si="5"/>
        <v>38011</v>
      </c>
      <c r="J6" s="3">
        <f t="shared" si="6"/>
        <v>38116</v>
      </c>
      <c r="K6" s="3">
        <f t="shared" si="7"/>
        <v>38164</v>
      </c>
      <c r="L6" s="3">
        <f t="shared" si="8"/>
        <v>38165</v>
      </c>
      <c r="M6" s="3">
        <f t="shared" si="9"/>
        <v>38200</v>
      </c>
      <c r="N6" s="3">
        <f t="shared" si="10"/>
        <v>38242</v>
      </c>
      <c r="O6" s="3">
        <f t="shared" si="11"/>
        <v>38251</v>
      </c>
      <c r="P6" s="3">
        <f t="shared" si="12"/>
        <v>38263</v>
      </c>
    </row>
    <row r="7" spans="2:16" ht="18.75" x14ac:dyDescent="0.25">
      <c r="B7" s="1">
        <v>2005</v>
      </c>
      <c r="C7" s="3">
        <f t="shared" si="0"/>
        <v>38369</v>
      </c>
      <c r="D7" s="3">
        <f t="shared" si="1"/>
        <v>38502</v>
      </c>
      <c r="E7" s="3">
        <f t="shared" si="13"/>
        <v>38680</v>
      </c>
      <c r="F7" s="3">
        <f t="shared" si="2"/>
        <v>38438</v>
      </c>
      <c r="G7" s="3">
        <f t="shared" si="3"/>
        <v>38477</v>
      </c>
      <c r="H7" s="3">
        <f t="shared" si="4"/>
        <v>38391</v>
      </c>
      <c r="I7" s="3">
        <f t="shared" si="5"/>
        <v>38382</v>
      </c>
      <c r="J7" s="3">
        <f t="shared" si="6"/>
        <v>38480</v>
      </c>
      <c r="K7" s="3">
        <f t="shared" si="7"/>
        <v>38528</v>
      </c>
      <c r="L7" s="3">
        <f t="shared" si="8"/>
        <v>38529</v>
      </c>
      <c r="M7" s="3">
        <f t="shared" si="9"/>
        <v>38571</v>
      </c>
      <c r="N7" s="3">
        <f t="shared" si="10"/>
        <v>38606</v>
      </c>
      <c r="O7" s="3">
        <f t="shared" si="11"/>
        <v>38615</v>
      </c>
      <c r="P7" s="3">
        <f t="shared" si="12"/>
        <v>38627</v>
      </c>
    </row>
    <row r="8" spans="2:16" ht="18.75" x14ac:dyDescent="0.25">
      <c r="B8" s="1">
        <v>2006</v>
      </c>
      <c r="C8" s="3">
        <f t="shared" si="0"/>
        <v>38733</v>
      </c>
      <c r="D8" s="3">
        <f t="shared" si="1"/>
        <v>38866</v>
      </c>
      <c r="E8" s="3">
        <f t="shared" si="13"/>
        <v>39044</v>
      </c>
      <c r="F8" s="3">
        <f t="shared" si="2"/>
        <v>38823</v>
      </c>
      <c r="G8" s="3">
        <f t="shared" si="3"/>
        <v>38862</v>
      </c>
      <c r="H8" s="3">
        <f t="shared" si="4"/>
        <v>38776</v>
      </c>
      <c r="I8" s="3">
        <f t="shared" si="5"/>
        <v>38746</v>
      </c>
      <c r="J8" s="3">
        <f t="shared" si="6"/>
        <v>38851</v>
      </c>
      <c r="K8" s="3">
        <f>ДеньИзобретателя(B8)</f>
        <v>38892</v>
      </c>
      <c r="L8" s="3">
        <f t="shared" si="8"/>
        <v>38893</v>
      </c>
      <c r="M8" s="3">
        <f t="shared" si="9"/>
        <v>38935</v>
      </c>
      <c r="N8" s="3">
        <f t="shared" si="10"/>
        <v>38970</v>
      </c>
      <c r="O8" s="3">
        <f t="shared" si="11"/>
        <v>38979</v>
      </c>
      <c r="P8" s="3">
        <f t="shared" si="12"/>
        <v>38991</v>
      </c>
    </row>
    <row r="9" spans="2:16" ht="18.75" x14ac:dyDescent="0.25">
      <c r="B9" s="1">
        <v>2007</v>
      </c>
      <c r="C9" s="3">
        <f t="shared" si="0"/>
        <v>39097</v>
      </c>
      <c r="D9" s="3">
        <f t="shared" si="1"/>
        <v>39230</v>
      </c>
      <c r="E9" s="3">
        <f t="shared" si="13"/>
        <v>39408</v>
      </c>
      <c r="F9" s="3">
        <f t="shared" si="2"/>
        <v>39180</v>
      </c>
      <c r="G9" s="3">
        <f t="shared" si="3"/>
        <v>39219</v>
      </c>
      <c r="H9" s="3">
        <f t="shared" si="4"/>
        <v>39133</v>
      </c>
      <c r="I9" s="3">
        <f t="shared" si="5"/>
        <v>39110</v>
      </c>
      <c r="J9" s="3">
        <f t="shared" si="6"/>
        <v>39215</v>
      </c>
      <c r="K9" s="3">
        <f t="shared" si="7"/>
        <v>39263</v>
      </c>
      <c r="L9" s="3">
        <f t="shared" si="8"/>
        <v>39257</v>
      </c>
      <c r="M9" s="3">
        <f t="shared" si="9"/>
        <v>39299</v>
      </c>
      <c r="N9" s="3">
        <f t="shared" si="10"/>
        <v>39334</v>
      </c>
      <c r="O9" s="3">
        <f t="shared" si="11"/>
        <v>39343</v>
      </c>
      <c r="P9" s="3">
        <f t="shared" si="12"/>
        <v>39362</v>
      </c>
    </row>
    <row r="10" spans="2:16" ht="18.75" x14ac:dyDescent="0.25">
      <c r="B10" s="1">
        <v>2008</v>
      </c>
      <c r="C10" s="3">
        <f t="shared" si="0"/>
        <v>39468</v>
      </c>
      <c r="D10" s="3">
        <f t="shared" si="1"/>
        <v>39594</v>
      </c>
      <c r="E10" s="3">
        <f t="shared" si="13"/>
        <v>39779</v>
      </c>
      <c r="F10" s="3">
        <f t="shared" si="2"/>
        <v>39530</v>
      </c>
      <c r="G10" s="3">
        <f t="shared" si="3"/>
        <v>39569</v>
      </c>
      <c r="H10" s="3">
        <f t="shared" si="4"/>
        <v>39483</v>
      </c>
      <c r="I10" s="3">
        <f t="shared" si="5"/>
        <v>39474</v>
      </c>
      <c r="J10" s="3">
        <f t="shared" si="6"/>
        <v>39579</v>
      </c>
      <c r="K10" s="3">
        <f t="shared" si="7"/>
        <v>39627</v>
      </c>
      <c r="L10" s="3">
        <f t="shared" si="8"/>
        <v>39628</v>
      </c>
      <c r="M10" s="3">
        <f t="shared" si="9"/>
        <v>39663</v>
      </c>
      <c r="N10" s="3">
        <f t="shared" si="10"/>
        <v>39705</v>
      </c>
      <c r="O10" s="3">
        <f t="shared" si="11"/>
        <v>39707</v>
      </c>
      <c r="P10" s="3">
        <f t="shared" si="12"/>
        <v>39726</v>
      </c>
    </row>
    <row r="11" spans="2:16" ht="18.75" x14ac:dyDescent="0.25">
      <c r="B11" s="1">
        <v>2009</v>
      </c>
      <c r="C11" s="3">
        <f t="shared" si="0"/>
        <v>39832</v>
      </c>
      <c r="D11" s="3">
        <f t="shared" si="1"/>
        <v>39958</v>
      </c>
      <c r="E11" s="3">
        <f t="shared" si="13"/>
        <v>40143</v>
      </c>
      <c r="F11" s="3">
        <f t="shared" si="2"/>
        <v>39915</v>
      </c>
      <c r="G11" s="3">
        <f t="shared" si="3"/>
        <v>39954</v>
      </c>
      <c r="H11" s="3">
        <f t="shared" si="4"/>
        <v>39868</v>
      </c>
      <c r="I11" s="3">
        <f t="shared" si="5"/>
        <v>39838</v>
      </c>
      <c r="J11" s="3">
        <f t="shared" si="6"/>
        <v>39943</v>
      </c>
      <c r="K11" s="3">
        <f t="shared" si="7"/>
        <v>39991</v>
      </c>
      <c r="L11" s="3">
        <f t="shared" si="8"/>
        <v>39992</v>
      </c>
      <c r="M11" s="3">
        <f t="shared" si="9"/>
        <v>40027</v>
      </c>
      <c r="N11" s="3">
        <f t="shared" si="10"/>
        <v>40069</v>
      </c>
      <c r="O11" s="3">
        <f t="shared" si="11"/>
        <v>40071</v>
      </c>
      <c r="P11" s="3">
        <f t="shared" si="12"/>
        <v>40090</v>
      </c>
    </row>
    <row r="12" spans="2:16" ht="18.75" x14ac:dyDescent="0.25">
      <c r="B12" s="1">
        <v>2010</v>
      </c>
      <c r="C12" s="3">
        <f t="shared" si="0"/>
        <v>40196</v>
      </c>
      <c r="D12" s="3">
        <f t="shared" si="1"/>
        <v>40329</v>
      </c>
      <c r="E12" s="3">
        <f t="shared" si="13"/>
        <v>40507</v>
      </c>
      <c r="F12" s="3">
        <f t="shared" si="2"/>
        <v>40272</v>
      </c>
      <c r="G12" s="3">
        <f t="shared" si="3"/>
        <v>40311</v>
      </c>
      <c r="H12" s="3">
        <f t="shared" si="4"/>
        <v>40225</v>
      </c>
      <c r="I12" s="3">
        <f t="shared" si="5"/>
        <v>40209</v>
      </c>
      <c r="J12" s="3">
        <f t="shared" si="6"/>
        <v>40307</v>
      </c>
      <c r="K12" s="3">
        <f t="shared" si="7"/>
        <v>40355</v>
      </c>
      <c r="L12" s="3">
        <f t="shared" si="8"/>
        <v>40356</v>
      </c>
      <c r="M12" s="3">
        <f t="shared" si="9"/>
        <v>40391</v>
      </c>
      <c r="N12" s="3">
        <f t="shared" si="10"/>
        <v>40433</v>
      </c>
      <c r="O12" s="3">
        <f t="shared" si="11"/>
        <v>40442</v>
      </c>
      <c r="P12" s="3">
        <f t="shared" si="12"/>
        <v>40454</v>
      </c>
    </row>
    <row r="13" spans="2:16" ht="18.75" x14ac:dyDescent="0.25">
      <c r="B13" s="1">
        <v>2011</v>
      </c>
      <c r="C13" s="3">
        <f t="shared" si="0"/>
        <v>40560</v>
      </c>
      <c r="D13" s="3">
        <f t="shared" si="1"/>
        <v>40693</v>
      </c>
      <c r="E13" s="3">
        <f t="shared" si="13"/>
        <v>40871</v>
      </c>
      <c r="F13" s="3">
        <f t="shared" si="2"/>
        <v>40657</v>
      </c>
      <c r="G13" s="3">
        <f t="shared" si="3"/>
        <v>40696</v>
      </c>
      <c r="H13" s="3">
        <f t="shared" si="4"/>
        <v>40610</v>
      </c>
      <c r="I13" s="3">
        <f t="shared" si="5"/>
        <v>40573</v>
      </c>
      <c r="J13" s="3">
        <f t="shared" si="6"/>
        <v>40671</v>
      </c>
      <c r="K13" s="3">
        <f t="shared" si="7"/>
        <v>40719</v>
      </c>
      <c r="L13" s="3">
        <f t="shared" si="8"/>
        <v>40720</v>
      </c>
      <c r="M13" s="3">
        <f t="shared" si="9"/>
        <v>40762</v>
      </c>
      <c r="N13" s="3">
        <f t="shared" si="10"/>
        <v>40797</v>
      </c>
      <c r="O13" s="3">
        <f t="shared" si="11"/>
        <v>40806</v>
      </c>
      <c r="P13" s="3">
        <f t="shared" si="12"/>
        <v>40818</v>
      </c>
    </row>
    <row r="14" spans="2:16" ht="18.75" x14ac:dyDescent="0.25">
      <c r="B14" s="1">
        <v>2012</v>
      </c>
      <c r="C14" s="3">
        <f t="shared" si="0"/>
        <v>40924</v>
      </c>
      <c r="D14" s="3">
        <f t="shared" si="1"/>
        <v>41057</v>
      </c>
      <c r="E14" s="3">
        <f t="shared" si="13"/>
        <v>41235</v>
      </c>
      <c r="F14" s="3">
        <f t="shared" si="2"/>
        <v>41007</v>
      </c>
      <c r="G14" s="3">
        <f t="shared" si="3"/>
        <v>41046</v>
      </c>
      <c r="H14" s="3">
        <f t="shared" si="4"/>
        <v>40960</v>
      </c>
      <c r="I14" s="3">
        <f t="shared" si="5"/>
        <v>40937</v>
      </c>
      <c r="J14" s="3">
        <f t="shared" si="6"/>
        <v>41042</v>
      </c>
      <c r="K14" s="3">
        <f t="shared" si="7"/>
        <v>41090</v>
      </c>
      <c r="L14" s="3">
        <f t="shared" si="8"/>
        <v>41084</v>
      </c>
      <c r="M14" s="3">
        <f t="shared" si="9"/>
        <v>41126</v>
      </c>
      <c r="N14" s="3">
        <f t="shared" si="10"/>
        <v>41161</v>
      </c>
      <c r="O14" s="3">
        <f t="shared" si="11"/>
        <v>41170</v>
      </c>
      <c r="P14" s="3">
        <f t="shared" si="12"/>
        <v>41189</v>
      </c>
    </row>
    <row r="15" spans="2:16" ht="18.75" x14ac:dyDescent="0.25">
      <c r="B15" s="1">
        <v>2013</v>
      </c>
      <c r="C15" s="3">
        <f t="shared" si="0"/>
        <v>41295</v>
      </c>
      <c r="D15" s="3">
        <f t="shared" si="1"/>
        <v>41421</v>
      </c>
      <c r="E15" s="3">
        <f t="shared" si="13"/>
        <v>41606</v>
      </c>
      <c r="F15" s="3">
        <f t="shared" si="2"/>
        <v>41364</v>
      </c>
      <c r="G15" s="3">
        <f t="shared" si="3"/>
        <v>41403</v>
      </c>
      <c r="H15" s="3">
        <f t="shared" si="4"/>
        <v>41317</v>
      </c>
      <c r="I15" s="3">
        <f t="shared" si="5"/>
        <v>41301</v>
      </c>
      <c r="J15" s="3">
        <f t="shared" si="6"/>
        <v>41406</v>
      </c>
      <c r="K15" s="3">
        <f t="shared" si="7"/>
        <v>41454</v>
      </c>
      <c r="L15" s="3">
        <f t="shared" si="8"/>
        <v>41455</v>
      </c>
      <c r="M15" s="3">
        <f t="shared" si="9"/>
        <v>41490</v>
      </c>
      <c r="N15" s="3">
        <f t="shared" si="10"/>
        <v>41525</v>
      </c>
      <c r="O15" s="3">
        <f t="shared" si="11"/>
        <v>41534</v>
      </c>
      <c r="P15" s="3">
        <f t="shared" si="12"/>
        <v>41553</v>
      </c>
    </row>
    <row r="16" spans="2:16" ht="18.75" x14ac:dyDescent="0.25">
      <c r="B16" s="1">
        <v>2014</v>
      </c>
      <c r="C16" s="3">
        <f t="shared" si="0"/>
        <v>41659</v>
      </c>
      <c r="D16" s="3">
        <f t="shared" si="1"/>
        <v>41785</v>
      </c>
      <c r="E16" s="3">
        <f t="shared" si="13"/>
        <v>41970</v>
      </c>
      <c r="F16" s="3">
        <f t="shared" si="2"/>
        <v>41749</v>
      </c>
      <c r="G16" s="3">
        <f t="shared" si="3"/>
        <v>41788</v>
      </c>
      <c r="H16" s="3">
        <f t="shared" si="4"/>
        <v>41702</v>
      </c>
      <c r="I16" s="3">
        <f t="shared" si="5"/>
        <v>41665</v>
      </c>
      <c r="J16" s="3">
        <f t="shared" si="6"/>
        <v>41770</v>
      </c>
      <c r="K16" s="3">
        <f t="shared" si="7"/>
        <v>41818</v>
      </c>
      <c r="L16" s="3">
        <f t="shared" si="8"/>
        <v>41819</v>
      </c>
      <c r="M16" s="3">
        <f t="shared" si="9"/>
        <v>41854</v>
      </c>
      <c r="N16" s="3">
        <f t="shared" si="10"/>
        <v>41896</v>
      </c>
      <c r="O16" s="3">
        <f t="shared" si="11"/>
        <v>41898</v>
      </c>
      <c r="P16" s="3">
        <f t="shared" si="12"/>
        <v>41917</v>
      </c>
    </row>
    <row r="17" spans="2:16" ht="18.75" x14ac:dyDescent="0.25">
      <c r="B17" s="1">
        <v>2015</v>
      </c>
      <c r="C17" s="3">
        <f t="shared" si="0"/>
        <v>42023</v>
      </c>
      <c r="D17" s="3">
        <f t="shared" si="1"/>
        <v>42149</v>
      </c>
      <c r="E17" s="3">
        <f t="shared" si="13"/>
        <v>42334</v>
      </c>
      <c r="F17" s="3">
        <f t="shared" si="2"/>
        <v>42099</v>
      </c>
      <c r="G17" s="3">
        <f t="shared" si="3"/>
        <v>42138</v>
      </c>
      <c r="H17" s="3">
        <f t="shared" si="4"/>
        <v>42052</v>
      </c>
      <c r="I17" s="3">
        <f t="shared" si="5"/>
        <v>42029</v>
      </c>
      <c r="J17" s="3">
        <f t="shared" si="6"/>
        <v>42134</v>
      </c>
      <c r="K17" s="3">
        <f t="shared" si="7"/>
        <v>42182</v>
      </c>
      <c r="L17" s="3">
        <f t="shared" si="8"/>
        <v>42183</v>
      </c>
      <c r="M17" s="3">
        <f t="shared" si="9"/>
        <v>42218</v>
      </c>
      <c r="N17" s="3">
        <f t="shared" si="10"/>
        <v>42260</v>
      </c>
      <c r="O17" s="3">
        <f t="shared" si="11"/>
        <v>42262</v>
      </c>
      <c r="P17" s="3">
        <f t="shared" si="12"/>
        <v>42281</v>
      </c>
    </row>
    <row r="18" spans="2:16" ht="18.75" x14ac:dyDescent="0.25">
      <c r="B18" s="1">
        <v>2016</v>
      </c>
      <c r="C18" s="3">
        <f t="shared" si="0"/>
        <v>42387</v>
      </c>
      <c r="D18" s="3">
        <f t="shared" si="1"/>
        <v>42520</v>
      </c>
      <c r="E18" s="3">
        <f t="shared" si="13"/>
        <v>42698</v>
      </c>
      <c r="F18" s="3">
        <f t="shared" si="2"/>
        <v>42456</v>
      </c>
      <c r="G18" s="3">
        <f t="shared" si="3"/>
        <v>42495</v>
      </c>
      <c r="H18" s="3">
        <f t="shared" si="4"/>
        <v>42409</v>
      </c>
      <c r="I18" s="3">
        <f t="shared" si="5"/>
        <v>42400</v>
      </c>
      <c r="J18" s="3">
        <f t="shared" si="6"/>
        <v>42498</v>
      </c>
      <c r="K18" s="3">
        <f t="shared" si="7"/>
        <v>42546</v>
      </c>
      <c r="L18" s="3">
        <f t="shared" si="8"/>
        <v>42547</v>
      </c>
      <c r="M18" s="3">
        <f t="shared" si="9"/>
        <v>42589</v>
      </c>
      <c r="N18" s="3">
        <f t="shared" si="10"/>
        <v>42624</v>
      </c>
      <c r="O18" s="3">
        <f t="shared" si="11"/>
        <v>42633</v>
      </c>
      <c r="P18" s="3">
        <f t="shared" si="12"/>
        <v>42645</v>
      </c>
    </row>
    <row r="19" spans="2:16" ht="18.75" x14ac:dyDescent="0.25">
      <c r="B19" s="1">
        <v>2017</v>
      </c>
      <c r="C19" s="3">
        <f t="shared" si="0"/>
        <v>42751</v>
      </c>
      <c r="D19" s="3">
        <f t="shared" si="1"/>
        <v>42884</v>
      </c>
      <c r="E19" s="3">
        <f t="shared" si="13"/>
        <v>43062</v>
      </c>
      <c r="F19" s="3">
        <f t="shared" si="2"/>
        <v>42841</v>
      </c>
      <c r="G19" s="3">
        <f t="shared" si="3"/>
        <v>42880</v>
      </c>
      <c r="H19" s="3">
        <f t="shared" si="4"/>
        <v>42794</v>
      </c>
      <c r="I19" s="3">
        <f t="shared" si="5"/>
        <v>42764</v>
      </c>
      <c r="J19" s="3">
        <f t="shared" si="6"/>
        <v>42869</v>
      </c>
      <c r="K19" s="3">
        <f t="shared" si="7"/>
        <v>42910</v>
      </c>
      <c r="L19" s="3">
        <f t="shared" si="8"/>
        <v>42911</v>
      </c>
      <c r="M19" s="3">
        <f t="shared" si="9"/>
        <v>42953</v>
      </c>
      <c r="N19" s="3">
        <f t="shared" si="10"/>
        <v>42988</v>
      </c>
      <c r="O19" s="3">
        <f t="shared" si="11"/>
        <v>42997</v>
      </c>
      <c r="P19" s="3">
        <f t="shared" si="12"/>
        <v>43009</v>
      </c>
    </row>
    <row r="20" spans="2:16" ht="18.75" x14ac:dyDescent="0.25">
      <c r="B20" s="1">
        <v>2018</v>
      </c>
      <c r="C20" s="3">
        <f t="shared" si="0"/>
        <v>43115</v>
      </c>
      <c r="D20" s="3">
        <f t="shared" si="1"/>
        <v>43248</v>
      </c>
      <c r="E20" s="3">
        <f t="shared" si="13"/>
        <v>43426</v>
      </c>
      <c r="F20" s="3">
        <f t="shared" si="2"/>
        <v>43191</v>
      </c>
      <c r="G20" s="3">
        <f t="shared" si="3"/>
        <v>43230</v>
      </c>
      <c r="H20" s="3">
        <f t="shared" si="4"/>
        <v>43144</v>
      </c>
      <c r="I20" s="3">
        <f t="shared" si="5"/>
        <v>43128</v>
      </c>
      <c r="J20" s="3">
        <f t="shared" si="6"/>
        <v>43233</v>
      </c>
      <c r="K20" s="3">
        <f t="shared" si="7"/>
        <v>43281</v>
      </c>
      <c r="L20" s="3">
        <f t="shared" si="8"/>
        <v>43275</v>
      </c>
      <c r="M20" s="3">
        <f t="shared" si="9"/>
        <v>43317</v>
      </c>
      <c r="N20" s="3">
        <f t="shared" si="10"/>
        <v>43352</v>
      </c>
      <c r="O20" s="3">
        <f t="shared" si="11"/>
        <v>43361</v>
      </c>
      <c r="P20" s="3">
        <f t="shared" si="12"/>
        <v>43380</v>
      </c>
    </row>
    <row r="21" spans="2:16" ht="18.75" x14ac:dyDescent="0.25">
      <c r="B21" s="1">
        <v>2019</v>
      </c>
      <c r="C21" s="3">
        <f t="shared" si="0"/>
        <v>43486</v>
      </c>
      <c r="D21" s="3">
        <f t="shared" si="1"/>
        <v>43612</v>
      </c>
      <c r="E21" s="3">
        <f t="shared" si="13"/>
        <v>43797</v>
      </c>
      <c r="F21" s="3">
        <f t="shared" si="2"/>
        <v>43576</v>
      </c>
      <c r="G21" s="3">
        <f t="shared" si="3"/>
        <v>43615</v>
      </c>
      <c r="H21" s="3">
        <f t="shared" si="4"/>
        <v>43529</v>
      </c>
      <c r="I21" s="3">
        <f t="shared" si="5"/>
        <v>43492</v>
      </c>
      <c r="J21" s="3">
        <f t="shared" si="6"/>
        <v>43597</v>
      </c>
      <c r="K21" s="3">
        <f t="shared" si="7"/>
        <v>43645</v>
      </c>
      <c r="L21" s="3">
        <f t="shared" si="8"/>
        <v>43646</v>
      </c>
      <c r="M21" s="3">
        <f t="shared" si="9"/>
        <v>43681</v>
      </c>
      <c r="N21" s="3">
        <f t="shared" si="10"/>
        <v>43716</v>
      </c>
      <c r="O21" s="3">
        <f t="shared" si="11"/>
        <v>43725</v>
      </c>
      <c r="P21" s="3">
        <f t="shared" si="12"/>
        <v>43744</v>
      </c>
    </row>
    <row r="22" spans="2:16" ht="18.75" x14ac:dyDescent="0.25">
      <c r="B22" s="1">
        <v>2020</v>
      </c>
      <c r="C22" s="3">
        <f t="shared" si="0"/>
        <v>43850</v>
      </c>
      <c r="D22" s="3">
        <f t="shared" si="1"/>
        <v>43976</v>
      </c>
      <c r="E22" s="3">
        <f t="shared" si="13"/>
        <v>44161</v>
      </c>
      <c r="F22" s="3">
        <f t="shared" si="2"/>
        <v>43933</v>
      </c>
      <c r="G22" s="3">
        <f t="shared" si="3"/>
        <v>43972</v>
      </c>
      <c r="H22" s="3">
        <f t="shared" si="4"/>
        <v>43886</v>
      </c>
      <c r="I22" s="3">
        <f t="shared" si="5"/>
        <v>43856</v>
      </c>
      <c r="J22" s="3">
        <f t="shared" si="6"/>
        <v>43961</v>
      </c>
      <c r="K22" s="3">
        <f t="shared" si="7"/>
        <v>44009</v>
      </c>
      <c r="L22" s="3">
        <f t="shared" si="8"/>
        <v>44010</v>
      </c>
      <c r="M22" s="3">
        <f t="shared" si="9"/>
        <v>44045</v>
      </c>
      <c r="N22" s="3">
        <f t="shared" si="10"/>
        <v>44087</v>
      </c>
      <c r="O22" s="3">
        <f t="shared" si="11"/>
        <v>44089</v>
      </c>
      <c r="P22" s="3">
        <f t="shared" si="12"/>
        <v>44108</v>
      </c>
    </row>
    <row r="23" spans="2:16" ht="18.75" x14ac:dyDescent="0.25">
      <c r="B23" s="1">
        <v>2021</v>
      </c>
      <c r="C23" s="3">
        <f t="shared" si="0"/>
        <v>44214</v>
      </c>
      <c r="D23" s="3">
        <f t="shared" si="1"/>
        <v>44347</v>
      </c>
      <c r="E23" s="3">
        <f t="shared" si="13"/>
        <v>44525</v>
      </c>
      <c r="F23" s="3">
        <f t="shared" si="2"/>
        <v>44290</v>
      </c>
      <c r="G23" s="3">
        <f t="shared" si="3"/>
        <v>44329</v>
      </c>
      <c r="H23" s="3">
        <f t="shared" si="4"/>
        <v>44243</v>
      </c>
      <c r="I23" s="3">
        <f t="shared" si="5"/>
        <v>44227</v>
      </c>
      <c r="J23" s="3">
        <f t="shared" si="6"/>
        <v>44325</v>
      </c>
      <c r="K23" s="3">
        <f t="shared" si="7"/>
        <v>44373</v>
      </c>
      <c r="L23" s="3">
        <f t="shared" si="8"/>
        <v>44374</v>
      </c>
      <c r="M23" s="3">
        <f t="shared" si="9"/>
        <v>44409</v>
      </c>
      <c r="N23" s="3">
        <f t="shared" si="10"/>
        <v>44451</v>
      </c>
      <c r="O23" s="3">
        <f t="shared" si="11"/>
        <v>44460</v>
      </c>
      <c r="P23" s="3">
        <f t="shared" si="12"/>
        <v>44472</v>
      </c>
    </row>
    <row r="24" spans="2:16" ht="18.75" x14ac:dyDescent="0.25">
      <c r="B24" s="1">
        <v>2022</v>
      </c>
      <c r="C24" s="3">
        <f t="shared" si="0"/>
        <v>44578</v>
      </c>
      <c r="D24" s="3">
        <f t="shared" si="1"/>
        <v>44711</v>
      </c>
      <c r="E24" s="3">
        <f t="shared" si="13"/>
        <v>44889</v>
      </c>
      <c r="F24" s="3">
        <f t="shared" si="2"/>
        <v>44668</v>
      </c>
      <c r="G24" s="3">
        <f t="shared" si="3"/>
        <v>44707</v>
      </c>
      <c r="H24" s="3">
        <f t="shared" si="4"/>
        <v>44621</v>
      </c>
      <c r="I24" s="3">
        <f t="shared" si="5"/>
        <v>44591</v>
      </c>
      <c r="J24" s="3">
        <f>ДеньГосФлага(B24)</f>
        <v>44689</v>
      </c>
      <c r="K24" s="3">
        <f t="shared" si="7"/>
        <v>44737</v>
      </c>
      <c r="L24" s="3">
        <f t="shared" si="8"/>
        <v>44738</v>
      </c>
      <c r="M24" s="3">
        <f t="shared" si="9"/>
        <v>44780</v>
      </c>
      <c r="N24" s="3">
        <f t="shared" si="10"/>
        <v>44815</v>
      </c>
      <c r="O24" s="3">
        <f t="shared" si="11"/>
        <v>44824</v>
      </c>
      <c r="P24" s="3">
        <f t="shared" si="12"/>
        <v>44836</v>
      </c>
    </row>
    <row r="25" spans="2:16" ht="18.75" x14ac:dyDescent="0.25">
      <c r="B25" s="1">
        <v>2023</v>
      </c>
      <c r="C25" s="3">
        <f t="shared" si="0"/>
        <v>44942</v>
      </c>
      <c r="D25" s="3">
        <f t="shared" si="1"/>
        <v>45075</v>
      </c>
      <c r="E25" s="3">
        <f t="shared" si="13"/>
        <v>45253</v>
      </c>
      <c r="F25" s="3">
        <f t="shared" si="2"/>
        <v>45025</v>
      </c>
      <c r="G25" s="3">
        <f t="shared" si="3"/>
        <v>45064</v>
      </c>
      <c r="H25" s="3">
        <f t="shared" si="4"/>
        <v>44978</v>
      </c>
      <c r="I25" s="3">
        <f t="shared" si="5"/>
        <v>44955</v>
      </c>
      <c r="J25" s="3">
        <f t="shared" si="6"/>
        <v>45060</v>
      </c>
      <c r="K25" s="3">
        <f t="shared" si="7"/>
        <v>45101</v>
      </c>
      <c r="L25" s="3">
        <f t="shared" si="8"/>
        <v>45102</v>
      </c>
      <c r="M25" s="3">
        <f t="shared" si="9"/>
        <v>45144</v>
      </c>
      <c r="N25" s="3">
        <f t="shared" si="10"/>
        <v>45179</v>
      </c>
      <c r="O25" s="3">
        <f t="shared" si="11"/>
        <v>45188</v>
      </c>
      <c r="P25" s="3">
        <f t="shared" si="12"/>
        <v>45200</v>
      </c>
    </row>
    <row r="26" spans="2:16" ht="18.75" x14ac:dyDescent="0.25">
      <c r="B26" s="1">
        <v>2024</v>
      </c>
      <c r="C26" s="3">
        <f t="shared" si="0"/>
        <v>45306</v>
      </c>
      <c r="D26" s="3">
        <f t="shared" si="1"/>
        <v>45439</v>
      </c>
      <c r="E26" s="3">
        <f t="shared" si="13"/>
        <v>45624</v>
      </c>
      <c r="F26" s="3">
        <f t="shared" si="2"/>
        <v>45382</v>
      </c>
      <c r="G26" s="3">
        <f t="shared" si="3"/>
        <v>45421</v>
      </c>
      <c r="H26" s="3">
        <f t="shared" si="4"/>
        <v>45335</v>
      </c>
      <c r="I26" s="3">
        <f t="shared" si="5"/>
        <v>45319</v>
      </c>
      <c r="J26" s="3">
        <f t="shared" si="6"/>
        <v>45424</v>
      </c>
      <c r="K26" s="3">
        <f t="shared" si="7"/>
        <v>45472</v>
      </c>
      <c r="L26" s="3">
        <f t="shared" si="8"/>
        <v>45473</v>
      </c>
      <c r="M26" s="3">
        <f t="shared" si="9"/>
        <v>45508</v>
      </c>
      <c r="N26" s="3">
        <f t="shared" si="10"/>
        <v>45543</v>
      </c>
      <c r="O26" s="3">
        <f t="shared" si="11"/>
        <v>45552</v>
      </c>
      <c r="P26" s="3">
        <f t="shared" si="12"/>
        <v>45571</v>
      </c>
    </row>
    <row r="27" spans="2:16" ht="18.75" x14ac:dyDescent="0.25">
      <c r="B27" s="1">
        <v>2025</v>
      </c>
      <c r="C27" s="3">
        <f t="shared" si="0"/>
        <v>45677</v>
      </c>
      <c r="D27" s="3">
        <f t="shared" si="1"/>
        <v>45803</v>
      </c>
      <c r="E27" s="3">
        <f t="shared" si="13"/>
        <v>45988</v>
      </c>
      <c r="F27" s="3">
        <f t="shared" si="2"/>
        <v>45767</v>
      </c>
      <c r="G27" s="3">
        <f t="shared" si="3"/>
        <v>45806</v>
      </c>
      <c r="H27" s="3">
        <f t="shared" si="4"/>
        <v>45720</v>
      </c>
      <c r="I27" s="3">
        <f t="shared" si="5"/>
        <v>45683</v>
      </c>
      <c r="J27" s="3">
        <f t="shared" si="6"/>
        <v>45788</v>
      </c>
      <c r="K27" s="3">
        <f t="shared" si="7"/>
        <v>45836</v>
      </c>
      <c r="L27" s="3">
        <f t="shared" si="8"/>
        <v>45837</v>
      </c>
      <c r="M27" s="3">
        <f t="shared" si="9"/>
        <v>45872</v>
      </c>
      <c r="N27" s="3">
        <f t="shared" si="10"/>
        <v>45914</v>
      </c>
      <c r="O27" s="3">
        <f t="shared" si="11"/>
        <v>45916</v>
      </c>
      <c r="P27" s="3">
        <f t="shared" si="12"/>
        <v>45935</v>
      </c>
    </row>
    <row r="28" spans="2:16" ht="18.75" x14ac:dyDescent="0.25">
      <c r="B28" s="1">
        <v>2026</v>
      </c>
      <c r="C28" s="3">
        <f t="shared" si="0"/>
        <v>46041</v>
      </c>
      <c r="D28" s="3">
        <f t="shared" si="1"/>
        <v>46167</v>
      </c>
      <c r="E28" s="3">
        <f t="shared" si="13"/>
        <v>46352</v>
      </c>
      <c r="F28" s="3">
        <f t="shared" si="2"/>
        <v>46117</v>
      </c>
      <c r="G28" s="3">
        <f t="shared" si="3"/>
        <v>46156</v>
      </c>
      <c r="H28" s="3">
        <f t="shared" si="4"/>
        <v>46070</v>
      </c>
      <c r="I28" s="3">
        <f t="shared" si="5"/>
        <v>46047</v>
      </c>
      <c r="J28" s="3">
        <f t="shared" si="6"/>
        <v>46152</v>
      </c>
      <c r="K28" s="3">
        <f t="shared" si="7"/>
        <v>46200</v>
      </c>
      <c r="L28" s="3">
        <f t="shared" si="8"/>
        <v>46201</v>
      </c>
      <c r="M28" s="3">
        <f t="shared" si="9"/>
        <v>46236</v>
      </c>
      <c r="N28" s="3">
        <f t="shared" si="10"/>
        <v>46278</v>
      </c>
      <c r="O28" s="3">
        <f t="shared" si="11"/>
        <v>46280</v>
      </c>
      <c r="P28" s="3">
        <f t="shared" si="12"/>
        <v>46299</v>
      </c>
    </row>
    <row r="29" spans="2:16" ht="18.75" x14ac:dyDescent="0.25">
      <c r="B29" s="1">
        <v>2027</v>
      </c>
      <c r="C29" s="3">
        <f t="shared" si="0"/>
        <v>46405</v>
      </c>
      <c r="D29" s="3">
        <f t="shared" si="1"/>
        <v>46538</v>
      </c>
      <c r="E29" s="3">
        <f t="shared" si="13"/>
        <v>46716</v>
      </c>
      <c r="F29" s="3">
        <f t="shared" si="2"/>
        <v>46474</v>
      </c>
      <c r="G29" s="3">
        <f t="shared" si="3"/>
        <v>46513</v>
      </c>
      <c r="H29" s="3">
        <f t="shared" si="4"/>
        <v>46427</v>
      </c>
      <c r="I29" s="3">
        <f t="shared" si="5"/>
        <v>46418</v>
      </c>
      <c r="J29" s="3">
        <f t="shared" si="6"/>
        <v>46516</v>
      </c>
      <c r="K29" s="3">
        <f t="shared" si="7"/>
        <v>46564</v>
      </c>
      <c r="L29" s="3">
        <f t="shared" si="8"/>
        <v>46565</v>
      </c>
      <c r="M29" s="3">
        <f t="shared" si="9"/>
        <v>46600</v>
      </c>
      <c r="N29" s="3">
        <f t="shared" si="10"/>
        <v>46642</v>
      </c>
      <c r="O29" s="3">
        <f t="shared" si="11"/>
        <v>46651</v>
      </c>
      <c r="P29" s="3">
        <f t="shared" si="12"/>
        <v>46663</v>
      </c>
    </row>
    <row r="30" spans="2:16" ht="18.75" x14ac:dyDescent="0.25">
      <c r="B30" s="1">
        <v>2028</v>
      </c>
      <c r="C30" s="3">
        <f t="shared" si="0"/>
        <v>46769</v>
      </c>
      <c r="D30" s="3">
        <f t="shared" si="1"/>
        <v>46902</v>
      </c>
      <c r="E30" s="3">
        <f t="shared" si="13"/>
        <v>47080</v>
      </c>
      <c r="F30" s="3">
        <f t="shared" si="2"/>
        <v>46859</v>
      </c>
      <c r="G30" s="3">
        <f t="shared" si="3"/>
        <v>46898</v>
      </c>
      <c r="H30" s="3">
        <f t="shared" si="4"/>
        <v>46812</v>
      </c>
      <c r="I30" s="3">
        <f t="shared" si="5"/>
        <v>46782</v>
      </c>
      <c r="J30" s="3">
        <f t="shared" si="6"/>
        <v>46887</v>
      </c>
      <c r="K30" s="3">
        <f t="shared" si="7"/>
        <v>46928</v>
      </c>
      <c r="L30" s="3">
        <f t="shared" si="8"/>
        <v>46929</v>
      </c>
      <c r="M30" s="3">
        <f t="shared" si="9"/>
        <v>46971</v>
      </c>
      <c r="N30" s="3">
        <f t="shared" si="10"/>
        <v>47006</v>
      </c>
      <c r="O30" s="3">
        <f t="shared" si="11"/>
        <v>47015</v>
      </c>
      <c r="P30" s="3">
        <f t="shared" si="12"/>
        <v>47027</v>
      </c>
    </row>
    <row r="31" spans="2:16" ht="18.75" x14ac:dyDescent="0.25">
      <c r="B31" s="1">
        <v>2029</v>
      </c>
      <c r="C31" s="3">
        <f t="shared" si="0"/>
        <v>47133</v>
      </c>
      <c r="D31" s="3">
        <f t="shared" si="1"/>
        <v>47266</v>
      </c>
      <c r="E31" s="3">
        <f t="shared" si="13"/>
        <v>47444</v>
      </c>
      <c r="F31" s="3">
        <f t="shared" si="2"/>
        <v>47209</v>
      </c>
      <c r="G31" s="3">
        <f t="shared" si="3"/>
        <v>47248</v>
      </c>
      <c r="H31" s="3">
        <f t="shared" si="4"/>
        <v>47162</v>
      </c>
      <c r="I31" s="3">
        <f t="shared" si="5"/>
        <v>47146</v>
      </c>
      <c r="J31" s="3">
        <f t="shared" si="6"/>
        <v>47251</v>
      </c>
      <c r="K31" s="3">
        <f t="shared" si="7"/>
        <v>47299</v>
      </c>
      <c r="L31" s="3">
        <f t="shared" si="8"/>
        <v>47293</v>
      </c>
      <c r="M31" s="3">
        <f t="shared" si="9"/>
        <v>47335</v>
      </c>
      <c r="N31" s="3">
        <f t="shared" si="10"/>
        <v>47370</v>
      </c>
      <c r="O31" s="3">
        <f t="shared" si="11"/>
        <v>47379</v>
      </c>
      <c r="P31" s="3">
        <f t="shared" si="12"/>
        <v>47398</v>
      </c>
    </row>
    <row r="32" spans="2:16" ht="18.75" x14ac:dyDescent="0.25">
      <c r="B32" s="1">
        <v>2030</v>
      </c>
      <c r="C32" s="3">
        <f t="shared" si="0"/>
        <v>47504</v>
      </c>
      <c r="D32" s="3">
        <f t="shared" si="1"/>
        <v>47630</v>
      </c>
      <c r="E32" s="3">
        <f t="shared" si="13"/>
        <v>47815</v>
      </c>
      <c r="F32" s="3">
        <f t="shared" si="2"/>
        <v>47594</v>
      </c>
      <c r="G32" s="3">
        <f t="shared" si="3"/>
        <v>47633</v>
      </c>
      <c r="H32" s="3">
        <f t="shared" si="4"/>
        <v>47547</v>
      </c>
      <c r="I32" s="3">
        <f t="shared" si="5"/>
        <v>47510</v>
      </c>
      <c r="J32" s="3">
        <f t="shared" si="6"/>
        <v>47615</v>
      </c>
      <c r="K32" s="3">
        <f t="shared" si="7"/>
        <v>47663</v>
      </c>
      <c r="L32" s="3">
        <f t="shared" si="8"/>
        <v>47664</v>
      </c>
      <c r="M32" s="3">
        <f t="shared" si="9"/>
        <v>47699</v>
      </c>
      <c r="N32" s="3">
        <f t="shared" si="10"/>
        <v>47734</v>
      </c>
      <c r="O32" s="3">
        <f t="shared" si="11"/>
        <v>47743</v>
      </c>
      <c r="P32" s="3">
        <f t="shared" si="12"/>
        <v>47762</v>
      </c>
    </row>
    <row r="33" spans="2:8" ht="18.75" x14ac:dyDescent="0.25">
      <c r="B33" s="4"/>
      <c r="C33" s="5"/>
      <c r="D33" s="4"/>
      <c r="E33" s="11"/>
      <c r="F33" s="2"/>
      <c r="G33" s="2"/>
      <c r="H33" s="2"/>
    </row>
  </sheetData>
  <mergeCells count="3">
    <mergeCell ref="C1:E1"/>
    <mergeCell ref="I1:P1"/>
    <mergeCell ref="F1:H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Home</cp:lastModifiedBy>
  <dcterms:created xsi:type="dcterms:W3CDTF">2019-09-07T05:19:50Z</dcterms:created>
  <dcterms:modified xsi:type="dcterms:W3CDTF">2019-10-18T21:08:21Z</dcterms:modified>
</cp:coreProperties>
</file>